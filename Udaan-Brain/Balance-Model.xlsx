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puts" sheetId="1" state="visible" r:id="rId3"/>
    <sheet name="WaveScaling" sheetId="2" state="visible" r:id="rId4"/>
    <sheet name="TTK" sheetId="3" state="visible" r:id="rId5"/>
    <sheet name="DefendModel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<sst xmlns="http://schemas.openxmlformats.org/spreadsheetml/2006/main" count="95" uniqueCount="95">
  <si>
    <t xml:space="preserve">UDAAN — Balance Model</t>
  </si>
  <si>
    <t xml:space="preserve">Tunable inputs (blue). Change these; all other sheets recompute. Values pulled from code, session 063.</t>
  </si>
  <si>
    <t xml:space="preserve">PLAYER</t>
  </si>
  <si>
    <t xml:space="preserve">Player max HP</t>
  </si>
  <si>
    <t xml:space="preserve">confirm from player TargetHealth</t>
  </si>
  <si>
    <t xml:space="preserve">Bullet damage</t>
  </si>
  <si>
    <t xml:space="preserve">DroneWeapon.bulletDamage</t>
  </si>
  <si>
    <t xml:space="preserve">Bullet rate (s)</t>
  </si>
  <si>
    <t xml:space="preserve">DroneWeapon.bulletRate</t>
  </si>
  <si>
    <t xml:space="preserve">Rocket damage</t>
  </si>
  <si>
    <t xml:space="preserve">DroneWeapon.rocketDamage</t>
  </si>
  <si>
    <t xml:space="preserve">Rocket rate (s)</t>
  </si>
  <si>
    <t xml:space="preserve">ENEMY (base = wave 0)</t>
  </si>
  <si>
    <t xml:space="preserve">Enemy base HP</t>
  </si>
  <si>
    <t xml:space="preserve">MissionDirector.waveEnemyHealth</t>
  </si>
  <si>
    <t xml:space="preserve">Enemy base damage</t>
  </si>
  <si>
    <t xml:space="preserve">enemyBaseDamage</t>
  </si>
  <si>
    <t xml:space="preserve">Enemy base fire (s)</t>
  </si>
  <si>
    <t xml:space="preserve">enemyBaseFire</t>
  </si>
  <si>
    <t xml:space="preserve">Per-wave HP growth</t>
  </si>
  <si>
    <t xml:space="preserve">perWaveHealth</t>
  </si>
  <si>
    <t xml:space="preserve">Per-wave dmg growth</t>
  </si>
  <si>
    <t xml:space="preserve">perWaveDamage</t>
  </si>
  <si>
    <t xml:space="preserve">Per-wave fire speedup</t>
  </si>
  <si>
    <t xml:space="preserve">perWaveFireSpeedup</t>
  </si>
  <si>
    <t xml:space="preserve">BOSS</t>
  </si>
  <si>
    <t xml:space="preserve">Boss HP</t>
  </si>
  <si>
    <t xml:space="preserve">bossHealth</t>
  </si>
  <si>
    <t xml:space="preserve">Boss damage</t>
  </si>
  <si>
    <t xml:space="preserve">CombatSpawner boss</t>
  </si>
  <si>
    <t xml:space="preserve">Boss fire (s)</t>
  </si>
  <si>
    <t xml:space="preserve">ALLY</t>
  </si>
  <si>
    <t xml:space="preserve">Ally HP</t>
  </si>
  <si>
    <t xml:space="preserve">allyHealth</t>
  </si>
  <si>
    <t xml:space="preserve">Ally damage</t>
  </si>
  <si>
    <t xml:space="preserve">CombatSpawner.Ally</t>
  </si>
  <si>
    <t xml:space="preserve">Ally fire (s)</t>
  </si>
  <si>
    <t xml:space="preserve">CORE / DEFEND</t>
  </si>
  <si>
    <t xml:space="preserve">Core HP</t>
  </si>
  <si>
    <t xml:space="preserve">coreHealth</t>
  </si>
  <si>
    <t xml:space="preserve">Core regen (HP/s)</t>
  </si>
  <si>
    <t xml:space="preserve">coreRegenRate (continuous, &gt; 1 attacker DPS)</t>
  </si>
  <si>
    <t xml:space="preserve">Core safe radius (m)</t>
  </si>
  <si>
    <t xml:space="preserve">coreSafeRadius</t>
  </si>
  <si>
    <t xml:space="preserve">Regen delay (s)</t>
  </si>
  <si>
    <t xml:space="preserve">coreRegenDelay</t>
  </si>
  <si>
    <t xml:space="preserve">Defend duration (s)</t>
  </si>
  <si>
    <t xml:space="preserve">defendDuration</t>
  </si>
  <si>
    <t xml:space="preserve">Push count</t>
  </si>
  <si>
    <t xml:space="preserve">defendPushCount</t>
  </si>
  <si>
    <t xml:space="preserve">Push interval (s)</t>
  </si>
  <si>
    <t xml:space="preserve">defendPushInterval</t>
  </si>
  <si>
    <t xml:space="preserve">Max live enemies</t>
  </si>
  <si>
    <t xml:space="preserve">defendMaxEnemies</t>
  </si>
  <si>
    <t xml:space="preserve">OUTPOST BUFF</t>
  </si>
  <si>
    <t xml:space="preserve">Overshield fraction</t>
  </si>
  <si>
    <t xml:space="preserve">captureOvershieldFraction</t>
  </si>
  <si>
    <t xml:space="preserve">Overshield duration (s)</t>
  </si>
  <si>
    <t xml:space="preserve">captureBuffSeconds</t>
  </si>
  <si>
    <t xml:space="preserve">DERIVED</t>
  </si>
  <si>
    <t xml:space="preserve">Player bullet DPS</t>
  </si>
  <si>
    <t xml:space="preserve">if all hits land</t>
  </si>
  <si>
    <t xml:space="preserve">Enemy base DPS</t>
  </si>
  <si>
    <t xml:space="preserve">Ally DPS</t>
  </si>
  <si>
    <t xml:space="preserve">Boss DPS</t>
  </si>
  <si>
    <t xml:space="preserve">Per-Wave Enemy Scaling</t>
  </si>
  <si>
    <t xml:space="preserve">Wave #</t>
  </si>
  <si>
    <t xml:space="preserve">Enemy HP</t>
  </si>
  <si>
    <t xml:space="preserve">Enemy dmg</t>
  </si>
  <si>
    <t xml:space="preserve">Enemy fire (s)</t>
  </si>
  <si>
    <t xml:space="preserve">Enemy DPS</t>
  </si>
  <si>
    <t xml:space="preserve">Player TTK (s)</t>
  </si>
  <si>
    <t xml:space="preserve">Enemy TTK vs player (s)</t>
  </si>
  <si>
    <t xml:space="preserve">Player TTK = enemy HP / player bullet DPS (all hits). Enemy TTK vs player = player HP / enemy DPS.</t>
  </si>
  <si>
    <t xml:space="preserve">Time-To-Kill Summary</t>
  </si>
  <si>
    <t xml:space="preserve">Matchup</t>
  </si>
  <si>
    <t xml:space="preserve">Attacker DPS</t>
  </si>
  <si>
    <t xml:space="preserve">Target HP</t>
  </si>
  <si>
    <t xml:space="preserve">TTK (s)</t>
  </si>
  <si>
    <t xml:space="preserve">Player vs base enemy</t>
  </si>
  <si>
    <t xml:space="preserve">Player vs boss</t>
  </si>
  <si>
    <t xml:space="preserve">Ally vs base enemy</t>
  </si>
  <si>
    <t xml:space="preserve">Base enemy vs player</t>
  </si>
  <si>
    <t xml:space="preserve">Base enemy vs player+overshield</t>
  </si>
  <si>
    <t xml:space="preserve">Boss vs player</t>
  </si>
  <si>
    <t xml:space="preserve">Defend Beat — Core Survival Model</t>
  </si>
  <si>
    <t xml:space="preserve">Core now regenerates CONTINUOUSLY. Net HP/s = regen - N x enemyDPS. A lone straggler is survivable; 2+ attackers overwhelm it. Peel/kill attackers to swing net positive.</t>
  </si>
  <si>
    <t xml:space="preserve">Attackers near core (N)</t>
  </si>
  <si>
    <t xml:space="preserve">Incoming DPS</t>
  </si>
  <si>
    <t xml:space="preserve">Net Core HP/s</t>
  </si>
  <si>
    <t xml:space="preserve">Time to destroy core (s)</t>
  </si>
  <si>
    <t xml:space="preserve">Survives defend duration?</t>
  </si>
  <si>
    <t xml:space="preserve">Reading: net HP/s = regen - N x tierDPS. If net &gt;= 0 the Core holds/heals at that many attackers. If net &lt; 0 it dies in CoreHP/(-net) seconds; "yes" if that exceeds the defend timer. Defend enemies use WaveScaling wave-2 DPS.</t>
  </si>
  <si>
    <t xml:space="preserve">Break-even attackers (net = 0) = regen / tierDPS. Keep N at or below this via peeling/killing and the Core survives.</t>
  </si>
  <si>
    <t xml:space="preserve">Break-even attackers (regen/tierDPS) =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</si>
</sst>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9"/>
      <color rgb="FF808080"/>
      <name val="Arial"/>
      <family val="0"/>
      <charset val="1"/>
    </font>
    <font>
      <sz val="11"/>
      <color rgb="FF0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12"/>
    <col collapsed="false" customWidth="true" hidden="false" outlineLevel="0" max="3" min="3" style="1" width="34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5"/>
      <c r="C4" s="5"/>
    </row>
    <row r="5" customFormat="false" ht="15" hidden="false" customHeight="true" outlineLevel="0" collapsed="false">
      <c r="A5" s="6" t="s">
        <v>3</v>
      </c>
      <c r="B5" s="7" t="n">
        <v>100</v>
      </c>
      <c r="C5" s="8" t="s">
        <v>4</v>
      </c>
    </row>
    <row r="6" customFormat="false" ht="15" hidden="false" customHeight="true" outlineLevel="0" collapsed="false">
      <c r="A6" s="6" t="s">
        <v>5</v>
      </c>
      <c r="B6" s="7" t="n">
        <v>18</v>
      </c>
      <c r="C6" s="8" t="s">
        <v>6</v>
      </c>
    </row>
    <row r="7" customFormat="false" ht="15" hidden="false" customHeight="true" outlineLevel="0" collapsed="false">
      <c r="A7" s="6" t="s">
        <v>7</v>
      </c>
      <c r="B7" s="7" t="n">
        <v>0.1</v>
      </c>
      <c r="C7" s="8" t="s">
        <v>8</v>
      </c>
    </row>
    <row r="8" customFormat="false" ht="15" hidden="false" customHeight="true" outlineLevel="0" collapsed="false">
      <c r="A8" s="6" t="s">
        <v>9</v>
      </c>
      <c r="B8" s="7" t="n">
        <v>60</v>
      </c>
      <c r="C8" s="8" t="s">
        <v>10</v>
      </c>
    </row>
    <row r="9" customFormat="false" ht="15" hidden="false" customHeight="true" outlineLevel="0" collapsed="false">
      <c r="A9" s="6" t="s">
        <v>11</v>
      </c>
      <c r="B9" s="7" t="n">
        <v>0.7</v>
      </c>
      <c r="C9" s="8"/>
    </row>
    <row r="10" customFormat="false" ht="15" hidden="false" customHeight="true" outlineLevel="0" collapsed="false">
      <c r="A10" s="4" t="s">
        <v>12</v>
      </c>
      <c r="B10" s="5"/>
      <c r="C10" s="5"/>
    </row>
    <row r="11" customFormat="false" ht="15" hidden="false" customHeight="true" outlineLevel="0" collapsed="false">
      <c r="A11" s="6" t="s">
        <v>13</v>
      </c>
      <c r="B11" s="7" t="n">
        <v>100</v>
      </c>
      <c r="C11" s="8" t="s">
        <v>14</v>
      </c>
    </row>
    <row r="12" customFormat="false" ht="15" hidden="false" customHeight="true" outlineLevel="0" collapsed="false">
      <c r="A12" s="6" t="s">
        <v>15</v>
      </c>
      <c r="B12" s="7" t="n">
        <v>14</v>
      </c>
      <c r="C12" s="8" t="s">
        <v>16</v>
      </c>
    </row>
    <row r="13" customFormat="false" ht="15" hidden="false" customHeight="true" outlineLevel="0" collapsed="false">
      <c r="A13" s="6" t="s">
        <v>17</v>
      </c>
      <c r="B13" s="7" t="n">
        <v>0.5</v>
      </c>
      <c r="C13" s="8" t="s">
        <v>18</v>
      </c>
    </row>
    <row r="14" customFormat="false" ht="15" hidden="false" customHeight="true" outlineLevel="0" collapsed="false">
      <c r="A14" s="6" t="s">
        <v>19</v>
      </c>
      <c r="B14" s="7" t="n">
        <v>0.35</v>
      </c>
      <c r="C14" s="8" t="s">
        <v>20</v>
      </c>
    </row>
    <row r="15" customFormat="false" ht="15" hidden="false" customHeight="true" outlineLevel="0" collapsed="false">
      <c r="A15" s="6" t="s">
        <v>21</v>
      </c>
      <c r="B15" s="7" t="n">
        <v>0.25</v>
      </c>
      <c r="C15" s="8" t="s">
        <v>22</v>
      </c>
    </row>
    <row r="16" customFormat="false" ht="15" hidden="false" customHeight="true" outlineLevel="0" collapsed="false">
      <c r="A16" s="6" t="s">
        <v>23</v>
      </c>
      <c r="B16" s="7" t="n">
        <v>0.08</v>
      </c>
      <c r="C16" s="8" t="s">
        <v>24</v>
      </c>
    </row>
    <row r="17" customFormat="false" ht="15" hidden="false" customHeight="true" outlineLevel="0" collapsed="false">
      <c r="A17" s="4" t="s">
        <v>25</v>
      </c>
      <c r="B17" s="5"/>
      <c r="C17" s="5"/>
    </row>
    <row r="18" customFormat="false" ht="15" hidden="false" customHeight="true" outlineLevel="0" collapsed="false">
      <c r="A18" s="6" t="s">
        <v>26</v>
      </c>
      <c r="B18" s="7" t="n">
        <v>1200</v>
      </c>
      <c r="C18" s="8" t="s">
        <v>27</v>
      </c>
    </row>
    <row r="19" customFormat="false" ht="15" hidden="false" customHeight="true" outlineLevel="0" collapsed="false">
      <c r="A19" s="6" t="s">
        <v>28</v>
      </c>
      <c r="B19" s="7" t="n">
        <v>36</v>
      </c>
      <c r="C19" s="8" t="s">
        <v>29</v>
      </c>
    </row>
    <row r="20" customFormat="false" ht="15" hidden="false" customHeight="true" outlineLevel="0" collapsed="false">
      <c r="A20" s="6" t="s">
        <v>30</v>
      </c>
      <c r="B20" s="7" t="n">
        <v>0.2</v>
      </c>
      <c r="C20" s="8"/>
    </row>
    <row r="21" customFormat="false" ht="15" hidden="false" customHeight="true" outlineLevel="0" collapsed="false">
      <c r="A21" s="4" t="s">
        <v>31</v>
      </c>
      <c r="B21" s="5"/>
      <c r="C21" s="5"/>
    </row>
    <row r="22" customFormat="false" ht="15" hidden="false" customHeight="true" outlineLevel="0" collapsed="false">
      <c r="A22" s="6" t="s">
        <v>32</v>
      </c>
      <c r="B22" s="7" t="n">
        <v>80</v>
      </c>
      <c r="C22" s="8" t="s">
        <v>33</v>
      </c>
    </row>
    <row r="23" customFormat="false" ht="15" hidden="false" customHeight="true" outlineLevel="0" collapsed="false">
      <c r="A23" s="6" t="s">
        <v>34</v>
      </c>
      <c r="B23" s="7" t="n">
        <v>9</v>
      </c>
      <c r="C23" s="8" t="s">
        <v>35</v>
      </c>
    </row>
    <row r="24" customFormat="false" ht="15" hidden="false" customHeight="true" outlineLevel="0" collapsed="false">
      <c r="A24" s="6" t="s">
        <v>36</v>
      </c>
      <c r="B24" s="7" t="n">
        <v>0.85</v>
      </c>
      <c r="C24" s="8"/>
    </row>
    <row r="25" customFormat="false" ht="15" hidden="false" customHeight="true" outlineLevel="0" collapsed="false">
      <c r="A25" s="4" t="s">
        <v>37</v>
      </c>
      <c r="B25" s="5"/>
      <c r="C25" s="5"/>
    </row>
    <row r="26" customFormat="false" ht="15" hidden="false" customHeight="true" outlineLevel="0" collapsed="false">
      <c r="A26" s="6" t="s">
        <v>38</v>
      </c>
      <c r="B26" s="7" t="n">
        <v>800</v>
      </c>
      <c r="C26" s="8" t="s">
        <v>39</v>
      </c>
    </row>
    <row r="27" customFormat="false" ht="15" hidden="false" customHeight="true" outlineLevel="0" collapsed="false">
      <c r="A27" s="6" t="s">
        <v>40</v>
      </c>
      <c r="B27" s="7" t="n">
        <v>55</v>
      </c>
      <c r="C27" s="8" t="s">
        <v>41</v>
      </c>
    </row>
    <row r="28" customFormat="false" ht="15" hidden="false" customHeight="true" outlineLevel="0" collapsed="false">
      <c r="A28" s="6" t="s">
        <v>42</v>
      </c>
      <c r="B28" s="7" t="n">
        <v>45</v>
      </c>
      <c r="C28" s="8" t="s">
        <v>43</v>
      </c>
    </row>
    <row r="29" customFormat="false" ht="15" hidden="false" customHeight="true" outlineLevel="0" collapsed="false">
      <c r="A29" s="6" t="s">
        <v>44</v>
      </c>
      <c r="B29" s="7" t="n">
        <v>2.5</v>
      </c>
      <c r="C29" s="8" t="s">
        <v>45</v>
      </c>
    </row>
    <row r="30" customFormat="false" ht="15" hidden="false" customHeight="true" outlineLevel="0" collapsed="false">
      <c r="A30" s="6" t="s">
        <v>46</v>
      </c>
      <c r="B30" s="7" t="n">
        <v>35</v>
      </c>
      <c r="C30" s="8" t="s">
        <v>47</v>
      </c>
    </row>
    <row r="31" customFormat="false" ht="15" hidden="false" customHeight="true" outlineLevel="0" collapsed="false">
      <c r="A31" s="6" t="s">
        <v>48</v>
      </c>
      <c r="B31" s="7" t="n">
        <v>2</v>
      </c>
      <c r="C31" s="8" t="s">
        <v>49</v>
      </c>
    </row>
    <row r="32" customFormat="false" ht="15" hidden="false" customHeight="true" outlineLevel="0" collapsed="false">
      <c r="A32" s="6" t="s">
        <v>50</v>
      </c>
      <c r="B32" s="7" t="n">
        <v>7</v>
      </c>
      <c r="C32" s="8" t="s">
        <v>51</v>
      </c>
    </row>
    <row r="33" customFormat="false" ht="15" hidden="false" customHeight="true" outlineLevel="0" collapsed="false">
      <c r="A33" s="6" t="s">
        <v>52</v>
      </c>
      <c r="B33" s="7" t="n">
        <v>5</v>
      </c>
      <c r="C33" s="8" t="s">
        <v>53</v>
      </c>
    </row>
    <row r="34" customFormat="false" ht="15" hidden="false" customHeight="true" outlineLevel="0" collapsed="false">
      <c r="A34" s="4" t="s">
        <v>54</v>
      </c>
      <c r="B34" s="5"/>
      <c r="C34" s="5"/>
    </row>
    <row r="35" customFormat="false" ht="15" hidden="false" customHeight="true" outlineLevel="0" collapsed="false">
      <c r="A35" s="6" t="s">
        <v>55</v>
      </c>
      <c r="B35" s="7" t="n">
        <v>0.4</v>
      </c>
      <c r="C35" s="8" t="s">
        <v>56</v>
      </c>
    </row>
    <row r="36" customFormat="false" ht="15" hidden="false" customHeight="true" outlineLevel="0" collapsed="false">
      <c r="A36" s="6" t="s">
        <v>57</v>
      </c>
      <c r="B36" s="7" t="n">
        <v>30</v>
      </c>
      <c r="C36" s="8" t="s">
        <v>58</v>
      </c>
    </row>
    <row r="38" customFormat="false" ht="15" hidden="false" customHeight="true" outlineLevel="0" collapsed="false">
      <c r="A38" s="4" t="s">
        <v>59</v>
      </c>
      <c r="B38" s="5"/>
      <c r="C38" s="5"/>
    </row>
    <row r="39" customFormat="false" ht="15" hidden="false" customHeight="true" outlineLevel="0" collapsed="false">
      <c r="A39" s="6" t="s">
        <v>60</v>
      </c>
      <c r="B39" s="9" t="n">
        <f aca="false">Inputs!$B$6/Inputs!$B$7</f>
        <v>180</v>
      </c>
      <c r="C39" s="8" t="s">
        <v>61</v>
      </c>
    </row>
    <row r="40" customFormat="false" ht="15" hidden="false" customHeight="true" outlineLevel="0" collapsed="false">
      <c r="A40" s="6" t="s">
        <v>62</v>
      </c>
      <c r="B40" s="9" t="n">
        <f aca="false">Inputs!$B$12/Inputs!$B$13</f>
        <v>28</v>
      </c>
      <c r="C40" s="8"/>
    </row>
    <row r="41" customFormat="false" ht="15" hidden="false" customHeight="true" outlineLevel="0" collapsed="false">
      <c r="A41" s="6" t="s">
        <v>63</v>
      </c>
      <c r="B41" s="9" t="n">
        <f aca="false">Inputs!$B$23/Inputs!$B$24</f>
        <v>10.5882352941176</v>
      </c>
      <c r="C41" s="8"/>
    </row>
    <row r="42" customFormat="false" ht="15" hidden="false" customHeight="true" outlineLevel="0" collapsed="false">
      <c r="A42" s="6" t="s">
        <v>64</v>
      </c>
      <c r="B42" s="9" t="n">
        <f aca="false">Inputs!$B$19/Inputs!$B$20</f>
        <v>180</v>
      </c>
      <c r="C42" s="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3" min="2" style="1" width="12"/>
    <col collapsed="false" customWidth="true" hidden="false" outlineLevel="0" max="4" min="4" style="1" width="14"/>
    <col collapsed="false" customWidth="true" hidden="false" outlineLevel="0" max="5" min="5" style="1" width="12"/>
    <col collapsed="false" customWidth="true" hidden="false" outlineLevel="0" max="6" min="6" style="1" width="14"/>
    <col collapsed="false" customWidth="true" hidden="false" outlineLevel="0" max="7" min="7" style="1" width="22"/>
  </cols>
  <sheetData>
    <row r="1" customFormat="false" ht="17.25" hidden="false" customHeight="true" outlineLevel="0" collapsed="false">
      <c r="A1" s="2" t="s">
        <v>65</v>
      </c>
    </row>
    <row r="3" customFormat="false" ht="15" hidden="false" customHeight="true" outlineLevel="0" collapsed="false">
      <c r="A3" s="10" t="s">
        <v>66</v>
      </c>
      <c r="B3" s="10" t="s">
        <v>67</v>
      </c>
      <c r="C3" s="10" t="s">
        <v>68</v>
      </c>
      <c r="D3" s="10" t="s">
        <v>69</v>
      </c>
      <c r="E3" s="10" t="s">
        <v>70</v>
      </c>
      <c r="F3" s="10" t="s">
        <v>71</v>
      </c>
      <c r="G3" s="10" t="s">
        <v>72</v>
      </c>
    </row>
    <row r="4" customFormat="false" ht="15" hidden="false" customHeight="true" outlineLevel="0" collapsed="false">
      <c r="A4" s="9" t="n">
        <v>0</v>
      </c>
      <c r="B4" s="9" t="n">
        <f aca="false">Inputs!$B$11*(1+Inputs!$B$14*0)</f>
        <v>100</v>
      </c>
      <c r="C4" s="9" t="n">
        <f aca="false">Inputs!$B$12*(1+Inputs!$B$15*0)</f>
        <v>14</v>
      </c>
      <c r="D4" s="9" t="n">
        <f aca="false">Inputs!$B$13*MAX(0.35,1-Inputs!$B$16*0)</f>
        <v>0.5</v>
      </c>
      <c r="E4" s="9" t="n">
        <f aca="false">C4/D4</f>
        <v>28</v>
      </c>
      <c r="F4" s="9" t="n">
        <f aca="false">B4/Inputs!$B$39</f>
        <v>0.555555555555556</v>
      </c>
      <c r="G4" s="9" t="n">
        <f aca="false">Inputs!$B$5/E4</f>
        <v>3.57142857142857</v>
      </c>
    </row>
    <row r="5" customFormat="false" ht="15" hidden="false" customHeight="true" outlineLevel="0" collapsed="false">
      <c r="A5" s="9" t="n">
        <v>1</v>
      </c>
      <c r="B5" s="9" t="n">
        <f aca="false">Inputs!$B$11*(1+Inputs!$B$14*1)</f>
        <v>135</v>
      </c>
      <c r="C5" s="9" t="n">
        <f aca="false">Inputs!$B$12*(1+Inputs!$B$15*1)</f>
        <v>17.5</v>
      </c>
      <c r="D5" s="9" t="n">
        <f aca="false">Inputs!$B$13*MAX(0.35,1-Inputs!$B$16*1)</f>
        <v>0.46</v>
      </c>
      <c r="E5" s="9" t="n">
        <f aca="false">C5/D5</f>
        <v>38.0434782608696</v>
      </c>
      <c r="F5" s="9" t="n">
        <f aca="false">B5/Inputs!$B$39</f>
        <v>0.75</v>
      </c>
      <c r="G5" s="9" t="n">
        <f aca="false">Inputs!$B$5/E5</f>
        <v>2.62857142857143</v>
      </c>
    </row>
    <row r="6" customFormat="false" ht="15" hidden="false" customHeight="true" outlineLevel="0" collapsed="false">
      <c r="A6" s="9" t="n">
        <v>2</v>
      </c>
      <c r="B6" s="9" t="n">
        <f aca="false">Inputs!$B$11*(1+Inputs!$B$14*2)</f>
        <v>170</v>
      </c>
      <c r="C6" s="9" t="n">
        <f aca="false">Inputs!$B$12*(1+Inputs!$B$15*2)</f>
        <v>21</v>
      </c>
      <c r="D6" s="9" t="n">
        <f aca="false">Inputs!$B$13*MAX(0.35,1-Inputs!$B$16*2)</f>
        <v>0.42</v>
      </c>
      <c r="E6" s="9" t="n">
        <f aca="false">C6/D6</f>
        <v>50</v>
      </c>
      <c r="F6" s="9" t="n">
        <f aca="false">B6/Inputs!$B$39</f>
        <v>0.944444444444444</v>
      </c>
      <c r="G6" s="9" t="n">
        <f aca="false">Inputs!$B$5/E6</f>
        <v>2</v>
      </c>
    </row>
    <row r="7" customFormat="false" ht="15" hidden="false" customHeight="true" outlineLevel="0" collapsed="false">
      <c r="A7" s="9" t="n">
        <v>3</v>
      </c>
      <c r="B7" s="9" t="n">
        <f aca="false">Inputs!$B$11*(1+Inputs!$B$14*3)</f>
        <v>205</v>
      </c>
      <c r="C7" s="9" t="n">
        <f aca="false">Inputs!$B$12*(1+Inputs!$B$15*3)</f>
        <v>24.5</v>
      </c>
      <c r="D7" s="9" t="n">
        <f aca="false">Inputs!$B$13*MAX(0.35,1-Inputs!$B$16*3)</f>
        <v>0.38</v>
      </c>
      <c r="E7" s="9" t="n">
        <f aca="false">C7/D7</f>
        <v>64.4736842105263</v>
      </c>
      <c r="F7" s="9" t="n">
        <f aca="false">B7/Inputs!$B$39</f>
        <v>1.13888888888889</v>
      </c>
      <c r="G7" s="9" t="n">
        <f aca="false">Inputs!$B$5/E7</f>
        <v>1.55102040816327</v>
      </c>
    </row>
    <row r="8" customFormat="false" ht="15" hidden="false" customHeight="true" outlineLevel="0" collapsed="false">
      <c r="A8" s="9" t="n">
        <v>4</v>
      </c>
      <c r="B8" s="9" t="n">
        <f aca="false">Inputs!$B$11*(1+Inputs!$B$14*4)</f>
        <v>240</v>
      </c>
      <c r="C8" s="9" t="n">
        <f aca="false">Inputs!$B$12*(1+Inputs!$B$15*4)</f>
        <v>28</v>
      </c>
      <c r="D8" s="9" t="n">
        <f aca="false">Inputs!$B$13*MAX(0.35,1-Inputs!$B$16*4)</f>
        <v>0.34</v>
      </c>
      <c r="E8" s="9" t="n">
        <f aca="false">C8/D8</f>
        <v>82.3529411764706</v>
      </c>
      <c r="F8" s="9" t="n">
        <f aca="false">B8/Inputs!$B$39</f>
        <v>1.33333333333333</v>
      </c>
      <c r="G8" s="9" t="n">
        <f aca="false">Inputs!$B$5/E8</f>
        <v>1.21428571428571</v>
      </c>
    </row>
    <row r="10" customFormat="false" ht="15" hidden="false" customHeight="true" outlineLevel="0" collapsed="false">
      <c r="A10" s="3" t="s">
        <v>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4"/>
    <col collapsed="false" customWidth="true" hidden="false" outlineLevel="0" max="3" min="3" style="1" width="12"/>
    <col collapsed="false" customWidth="true" hidden="false" outlineLevel="0" max="4" min="4" style="1" width="10"/>
  </cols>
  <sheetData>
    <row r="1" customFormat="false" ht="17.25" hidden="false" customHeight="true" outlineLevel="0" collapsed="false">
      <c r="A1" s="2" t="s">
        <v>74</v>
      </c>
    </row>
    <row r="3" customFormat="false" ht="15" hidden="false" customHeight="true" outlineLevel="0" collapsed="false">
      <c r="A3" s="10" t="s">
        <v>75</v>
      </c>
      <c r="B3" s="10" t="s">
        <v>76</v>
      </c>
      <c r="C3" s="10" t="s">
        <v>77</v>
      </c>
      <c r="D3" s="10" t="s">
        <v>78</v>
      </c>
    </row>
    <row r="4" customFormat="false" ht="15" hidden="false" customHeight="true" outlineLevel="0" collapsed="false">
      <c r="A4" s="9" t="s">
        <v>79</v>
      </c>
      <c r="B4" s="9" t="n">
        <f aca="false">Inputs!$B$39</f>
        <v>180</v>
      </c>
      <c r="C4" s="9" t="n">
        <f aca="false">Inputs!$B$11</f>
        <v>100</v>
      </c>
      <c r="D4" s="9" t="n">
        <f aca="false">C4/B4</f>
        <v>0.555555555555556</v>
      </c>
    </row>
    <row r="5" customFormat="false" ht="15" hidden="false" customHeight="true" outlineLevel="0" collapsed="false">
      <c r="A5" s="9" t="s">
        <v>80</v>
      </c>
      <c r="B5" s="9" t="n">
        <f aca="false">Inputs!$B$39</f>
        <v>180</v>
      </c>
      <c r="C5" s="9" t="n">
        <f aca="false">Inputs!$B$18</f>
        <v>1200</v>
      </c>
      <c r="D5" s="9" t="n">
        <f aca="false">C5/B5</f>
        <v>6.66666666666667</v>
      </c>
    </row>
    <row r="6" customFormat="false" ht="15" hidden="false" customHeight="true" outlineLevel="0" collapsed="false">
      <c r="A6" s="9" t="s">
        <v>81</v>
      </c>
      <c r="B6" s="9" t="n">
        <f aca="false">Inputs!$B$41</f>
        <v>10.5882352941176</v>
      </c>
      <c r="C6" s="9" t="n">
        <f aca="false">Inputs!$B$11</f>
        <v>100</v>
      </c>
      <c r="D6" s="9" t="n">
        <f aca="false">C6/B6</f>
        <v>9.44444444444445</v>
      </c>
    </row>
    <row r="7" customFormat="false" ht="15" hidden="false" customHeight="true" outlineLevel="0" collapsed="false">
      <c r="A7" s="9" t="s">
        <v>82</v>
      </c>
      <c r="B7" s="9" t="n">
        <f aca="false">Inputs!$B$40</f>
        <v>28</v>
      </c>
      <c r="C7" s="9" t="n">
        <f aca="false">Inputs!$B$5</f>
        <v>100</v>
      </c>
      <c r="D7" s="9" t="n">
        <f aca="false">C7/B7</f>
        <v>3.57142857142857</v>
      </c>
    </row>
    <row r="8" customFormat="false" ht="15" hidden="false" customHeight="true" outlineLevel="0" collapsed="false">
      <c r="A8" s="9" t="s">
        <v>83</v>
      </c>
      <c r="B8" s="9" t="n">
        <f aca="false">Inputs!$B$40</f>
        <v>28</v>
      </c>
      <c r="C8" s="9" t="n">
        <f aca="false">Inputs!$B$5*(1+Inputs!$B$35)</f>
        <v>140</v>
      </c>
      <c r="D8" s="9" t="n">
        <f aca="false">C8/B8</f>
        <v>5</v>
      </c>
    </row>
    <row r="9" customFormat="false" ht="15" hidden="false" customHeight="true" outlineLevel="0" collapsed="false">
      <c r="A9" s="9" t="s">
        <v>84</v>
      </c>
      <c r="B9" s="9" t="n">
        <f aca="false">Inputs!$B$42</f>
        <v>180</v>
      </c>
      <c r="C9" s="9" t="n">
        <f aca="false">Inputs!$B$5</f>
        <v>100</v>
      </c>
      <c r="D9" s="9" t="n">
        <f aca="false">C9/B9</f>
        <v>0.555555555555556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4"/>
    <col collapsed="false" customWidth="true" hidden="false" outlineLevel="0" max="3" min="2" style="1" width="14"/>
    <col collapsed="false" customWidth="true" hidden="false" outlineLevel="0" max="5" min="4" style="1" width="24"/>
  </cols>
  <sheetData>
    <row r="1" customFormat="false" ht="17.25" hidden="false" customHeight="true" outlineLevel="0" collapsed="false">
      <c r="A1" s="2" t="s">
        <v>85</v>
      </c>
    </row>
    <row r="2" customFormat="false" ht="15" hidden="false" customHeight="true" outlineLevel="0" collapsed="false">
      <c r="A2" s="3" t="s">
        <v>86</v>
      </c>
    </row>
    <row r="4" customFormat="false" ht="15" hidden="false" customHeight="true" outlineLevel="0" collapsed="false">
      <c r="A4" s="10" t="s">
        <v>87</v>
      </c>
      <c r="B4" s="10" t="s">
        <v>88</v>
      </c>
      <c r="C4" s="10" t="s">
        <v>89</v>
      </c>
      <c r="D4" s="10" t="s">
        <v>90</v>
      </c>
      <c r="E4" s="10" t="s">
        <v>91</v>
      </c>
    </row>
    <row r="5" customFormat="false" ht="15" hidden="false" customHeight="true" outlineLevel="0" collapsed="false">
      <c r="A5" s="9" t="n">
        <v>0</v>
      </c>
      <c r="B5" s="9" t="n">
        <f aca="false">0*WaveScaling!$E$6</f>
        <v>0</v>
      </c>
      <c r="C5" s="9" t="n">
        <f aca="false">Inputs!$B$27-B5</f>
        <v>55</v>
      </c>
      <c r="D5" s="9" t="str">
        <f aca="false">IF(C5&gt;=0,"holds/heals",Inputs!$B$26/-C5)</f>
        <v>holds/heals</v>
      </c>
      <c r="E5" s="9" t="str">
        <f aca="false">IF(C5&gt;=0,"yes",IF(Inputs!$B$26/-C5&gt;Inputs!$B$30,"yes","NO"))</f>
        <v>yes</v>
      </c>
    </row>
    <row r="6" customFormat="false" ht="15" hidden="false" customHeight="true" outlineLevel="0" collapsed="false">
      <c r="A6" s="9" t="n">
        <v>1</v>
      </c>
      <c r="B6" s="9" t="n">
        <f aca="false">1*WaveScaling!$E$6</f>
        <v>50</v>
      </c>
      <c r="C6" s="9" t="n">
        <f aca="false">Inputs!$B$27-B6</f>
        <v>5</v>
      </c>
      <c r="D6" s="9" t="str">
        <f aca="false">IF(C6&gt;=0,"holds/heals",Inputs!$B$26/-C6)</f>
        <v>holds/heals</v>
      </c>
      <c r="E6" s="9" t="str">
        <f aca="false">IF(C6&gt;=0,"yes",IF(Inputs!$B$26/-C6&gt;Inputs!$B$30,"yes","NO"))</f>
        <v>yes</v>
      </c>
    </row>
    <row r="7" customFormat="false" ht="15" hidden="false" customHeight="true" outlineLevel="0" collapsed="false">
      <c r="A7" s="9" t="n">
        <v>2</v>
      </c>
      <c r="B7" s="9" t="n">
        <f aca="false">2*WaveScaling!$E$6</f>
        <v>100</v>
      </c>
      <c r="C7" s="9" t="n">
        <f aca="false">Inputs!$B$27-B7</f>
        <v>-45</v>
      </c>
      <c r="D7" s="9" t="n">
        <f aca="false">IF(C7&gt;=0,"holds/heals",Inputs!$B$26/-C7)</f>
        <v>17.7777777777778</v>
      </c>
      <c r="E7" s="9" t="str">
        <f aca="false">IF(C7&gt;=0,"yes",IF(Inputs!$B$26/-C7&gt;Inputs!$B$30,"yes","NO"))</f>
        <v>NO</v>
      </c>
    </row>
    <row r="8" customFormat="false" ht="15" hidden="false" customHeight="true" outlineLevel="0" collapsed="false">
      <c r="A8" s="9" t="n">
        <v>3</v>
      </c>
      <c r="B8" s="9" t="n">
        <f aca="false">3*WaveScaling!$E$6</f>
        <v>150</v>
      </c>
      <c r="C8" s="9" t="n">
        <f aca="false">Inputs!$B$27-B8</f>
        <v>-95</v>
      </c>
      <c r="D8" s="9" t="n">
        <f aca="false">IF(C8&gt;=0,"holds/heals",Inputs!$B$26/-C8)</f>
        <v>8.42105263157895</v>
      </c>
      <c r="E8" s="9" t="str">
        <f aca="false">IF(C8&gt;=0,"yes",IF(Inputs!$B$26/-C8&gt;Inputs!$B$30,"yes","NO"))</f>
        <v>NO</v>
      </c>
    </row>
    <row r="9" customFormat="false" ht="15" hidden="false" customHeight="true" outlineLevel="0" collapsed="false">
      <c r="A9" s="9" t="n">
        <v>4</v>
      </c>
      <c r="B9" s="9" t="n">
        <f aca="false">4*WaveScaling!$E$6</f>
        <v>200</v>
      </c>
      <c r="C9" s="9" t="n">
        <f aca="false">Inputs!$B$27-B9</f>
        <v>-145</v>
      </c>
      <c r="D9" s="9" t="n">
        <f aca="false">IF(C9&gt;=0,"holds/heals",Inputs!$B$26/-C9)</f>
        <v>5.51724137931035</v>
      </c>
      <c r="E9" s="9" t="str">
        <f aca="false">IF(C9&gt;=0,"yes",IF(Inputs!$B$26/-C9&gt;Inputs!$B$30,"yes","NO"))</f>
        <v>NO</v>
      </c>
    </row>
    <row r="10" customFormat="false" ht="15" hidden="false" customHeight="true" outlineLevel="0" collapsed="false">
      <c r="A10" s="9" t="n">
        <v>5</v>
      </c>
      <c r="B10" s="9" t="n">
        <f aca="false">5*WaveScaling!$E$6</f>
        <v>250</v>
      </c>
      <c r="C10" s="9" t="n">
        <f aca="false">Inputs!$B$27-B10</f>
        <v>-195</v>
      </c>
      <c r="D10" s="9" t="n">
        <f aca="false">IF(C10&gt;=0,"holds/heals",Inputs!$B$26/-C10)</f>
        <v>4.1025641025641</v>
      </c>
      <c r="E10" s="9" t="str">
        <f aca="false">IF(C10&gt;=0,"yes",IF(Inputs!$B$26/-C10&gt;Inputs!$B$30,"yes","NO"))</f>
        <v>NO</v>
      </c>
    </row>
    <row r="11" customFormat="false" ht="15" hidden="false" customHeight="true" outlineLevel="0" collapsed="false">
      <c r="A11" s="9" t="n">
        <v>6</v>
      </c>
      <c r="B11" s="9" t="n">
        <f aca="false">6*WaveScaling!$E$6</f>
        <v>300</v>
      </c>
      <c r="C11" s="9" t="n">
        <f aca="false">Inputs!$B$27-B11</f>
        <v>-245</v>
      </c>
      <c r="D11" s="9" t="n">
        <f aca="false">IF(C11&gt;=0,"holds/heals",Inputs!$B$26/-C11)</f>
        <v>3.26530612244898</v>
      </c>
      <c r="E11" s="9" t="str">
        <f aca="false">IF(C11&gt;=0,"yes",IF(Inputs!$B$26/-C11&gt;Inputs!$B$30,"yes","NO"))</f>
        <v>NO</v>
      </c>
    </row>
    <row r="14" customFormat="false" ht="15" hidden="false" customHeight="true" outlineLevel="0" collapsed="false">
      <c r="A14" s="3" t="s">
        <v>92</v>
      </c>
    </row>
    <row r="15" customFormat="false" ht="15" hidden="false" customHeight="true" outlineLevel="0" collapsed="false">
      <c r="A15" s="3" t="s">
        <v>93</v>
      </c>
    </row>
    <row r="17" customFormat="false" ht="15" hidden="false" customHeight="true" outlineLevel="0" collapsed="false">
      <c r="A17" s="6" t="s">
        <v>94</v>
      </c>
      <c r="B17" s="11" t="n">
        <f aca="false">Inputs!$B$27/WaveScaling!$E$6</f>
        <v>1.1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2026-07-05T15:45:13Z</dcterms:created>
  <dc:creator>openpyxl</dc:creator>
  <dc:description/>
  <dc:language>en-US</dc:language>
  <cp:lastModifiedBy/>
  <dcterms:modified xsi:type="dcterms:W3CDTF">2026-07-05T22:41:13Z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